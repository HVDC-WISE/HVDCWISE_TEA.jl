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.barla\Documents\Local_codes\HVDCWISE_TEA.jl\templates\"/>
    </mc:Choice>
  </mc:AlternateContent>
  <xr:revisionPtr revIDLastSave="0" documentId="13_ncr:1_{A3A4F72A-24D3-4488-9C9C-4096C5CA3887}" xr6:coauthVersionLast="47" xr6:coauthVersionMax="47" xr10:uidLastSave="{00000000-0000-0000-0000-000000000000}"/>
  <bookViews>
    <workbookView xWindow="-110" yWindow="-110" windowWidth="19420" windowHeight="10300" activeTab="1" xr2:uid="{C57834E6-C588-4116-B15D-7ADB3B8705E5}"/>
  </bookViews>
  <sheets>
    <sheet name="ReadMe" sheetId="8" r:id="rId1"/>
    <sheet name="bus" sheetId="7" r:id="rId2"/>
    <sheet name="busdc" sheetId="9" r:id="rId3"/>
    <sheet name="load" sheetId="2" r:id="rId4"/>
    <sheet name="gen" sheetId="1" r:id="rId5"/>
    <sheet name="gen_res" sheetId="10" r:id="rId6"/>
    <sheet name="storage" sheetId="5" r:id="rId7"/>
    <sheet name="branch" sheetId="3" r:id="rId8"/>
    <sheet name="branchdc" sheetId="4" r:id="rId9"/>
    <sheet name="convdc" sheetId="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8" l="1" a="1"/>
  <c r="G12" i="8" a="1"/>
  <c r="B16" i="8"/>
  <c r="H13" i="8" a="1"/>
  <c r="L13" i="8" a="1"/>
  <c r="D15" i="8" a="1"/>
  <c r="G14" i="8" a="1"/>
  <c r="J13" i="8" a="1"/>
  <c r="D11" i="8" a="1"/>
  <c r="G10" i="8" a="1"/>
  <c r="I15" i="8" a="1"/>
  <c r="E9" i="8" a="1"/>
  <c r="D9" i="8" a="1"/>
  <c r="E8" i="8" a="1"/>
  <c r="B15" i="8"/>
  <c r="D10" i="8" a="1"/>
  <c r="B11" i="8"/>
  <c r="H14" i="8" a="1"/>
  <c r="B12" i="8"/>
  <c r="B10" i="8"/>
  <c r="I13" i="8" a="1"/>
  <c r="D13" i="8" a="1"/>
  <c r="I14" i="8" a="1"/>
  <c r="F10" i="8" a="1"/>
  <c r="E10" i="8" a="1"/>
  <c r="D16" i="8" a="1"/>
  <c r="E12" i="8" a="1"/>
  <c r="E14" i="8" a="1"/>
  <c r="G11" i="8" a="1"/>
  <c r="D12" i="8" a="1"/>
  <c r="K13" i="8" a="1"/>
  <c r="F15" i="8" a="1"/>
  <c r="B13" i="8"/>
  <c r="D8" i="8" a="1"/>
  <c r="G16" i="8" a="1"/>
  <c r="B14" i="8"/>
  <c r="J14" i="8" a="1"/>
  <c r="F13" i="8" a="1"/>
  <c r="H15" i="8" a="1"/>
  <c r="E13" i="8" a="1"/>
  <c r="G15" i="8" a="1"/>
  <c r="F14" i="8" a="1"/>
  <c r="B8" i="8"/>
  <c r="E16" i="8" a="1"/>
  <c r="B9" i="8"/>
  <c r="F12" i="8" a="1"/>
  <c r="G13" i="8" a="1"/>
  <c r="F16" i="8" a="1"/>
  <c r="D14" i="8" a="1"/>
  <c r="E11" i="8" a="1"/>
  <c r="F11" i="8" a="1"/>
  <c r="H16" i="8" a="1"/>
  <c r="H16" i="8" l="1"/>
  <c r="F11" i="8"/>
  <c r="E11" i="8"/>
  <c r="D14" i="8"/>
  <c r="F16" i="8"/>
  <c r="G13" i="8"/>
  <c r="F12" i="8"/>
  <c r="E16" i="8"/>
  <c r="F14" i="8"/>
  <c r="G15" i="8"/>
  <c r="E13" i="8"/>
  <c r="H15" i="8"/>
  <c r="F13" i="8"/>
  <c r="J14" i="8"/>
  <c r="G16" i="8"/>
  <c r="D8" i="8"/>
  <c r="F15" i="8"/>
  <c r="K13" i="8"/>
  <c r="D12" i="8"/>
  <c r="G11" i="8"/>
  <c r="E14" i="8"/>
  <c r="E12" i="8"/>
  <c r="D16" i="8"/>
  <c r="E10" i="8"/>
  <c r="F10" i="8"/>
  <c r="I14" i="8"/>
  <c r="D13" i="8"/>
  <c r="I13" i="8"/>
  <c r="H14" i="8"/>
  <c r="D10" i="8"/>
  <c r="E8" i="8"/>
  <c r="D9" i="8"/>
  <c r="E9" i="8"/>
  <c r="I15" i="8"/>
  <c r="G10" i="8"/>
  <c r="D11" i="8"/>
  <c r="J13" i="8"/>
  <c r="G14" i="8"/>
  <c r="D15" i="8"/>
  <c r="L13" i="8"/>
  <c r="H13" i="8"/>
  <c r="G12" i="8"/>
  <c r="E1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<sst xmlns="http://schemas.openxmlformats.org/spreadsheetml/2006/main" count="242" uniqueCount="128">
  <si>
    <t>Content</t>
  </si>
  <si>
    <t>This file contains 1 tab per component type (bus, branch, gen, …).</t>
  </si>
  <si>
    <t>The 3 first rows correspond to the attribute name, unit and description. Then there is 1 row per physical component (ex: 1 row per generator).</t>
  </si>
  <si>
    <t>Column A is for comments. Column B is for the component ids. Then there are columns for its bus id(s) and its other attributes (type, power rating, …)</t>
  </si>
  <si>
    <t>Components defined in this file</t>
  </si>
  <si>
    <t>Component type</t>
  </si>
  <si>
    <t>Nb of components</t>
  </si>
  <si>
    <t>Description</t>
  </si>
  <si>
    <t>Attributes</t>
  </si>
  <si>
    <t>bus</t>
  </si>
  <si>
    <t>load</t>
  </si>
  <si>
    <t>Loads</t>
  </si>
  <si>
    <t>gen</t>
  </si>
  <si>
    <t>storage</t>
  </si>
  <si>
    <t>Storages</t>
  </si>
  <si>
    <t>branch</t>
  </si>
  <si>
    <t>AC lines &amp; transformers</t>
  </si>
  <si>
    <t>branchdc</t>
  </si>
  <si>
    <t>DC lines</t>
  </si>
  <si>
    <t>convdc</t>
  </si>
  <si>
    <t>Converters</t>
  </si>
  <si>
    <t>Attribute</t>
  </si>
  <si>
    <t>bus id</t>
  </si>
  <si>
    <t>type</t>
  </si>
  <si>
    <t>base voltage</t>
  </si>
  <si>
    <t>Unit</t>
  </si>
  <si>
    <t>int</t>
  </si>
  <si>
    <t>str</t>
  </si>
  <si>
    <t>kV</t>
  </si>
  <si>
    <t>All ids must be different.</t>
  </si>
  <si>
    <t>load id</t>
  </si>
  <si>
    <t>max power shift up</t>
  </si>
  <si>
    <t>max power shift down</t>
  </si>
  <si>
    <t>MW</t>
  </si>
  <si>
    <t>MWh</t>
  </si>
  <si>
    <t>Must be defined in the bus tab.</t>
  </si>
  <si>
    <t>Residential, Industry, …</t>
  </si>
  <si>
    <t>Annual demand</t>
  </si>
  <si>
    <t>gen id</t>
  </si>
  <si>
    <t>power rating</t>
  </si>
  <si>
    <t>Installed power</t>
  </si>
  <si>
    <t>storage id</t>
  </si>
  <si>
    <t>production rating</t>
  </si>
  <si>
    <t>consumption rating</t>
  </si>
  <si>
    <t>energy rating</t>
  </si>
  <si>
    <t>production efficiency</t>
  </si>
  <si>
    <t>consumption efficiency</t>
  </si>
  <si>
    <t>self discharge rate</t>
  </si>
  <si>
    <t>%</t>
  </si>
  <si>
    <t>%/h</t>
  </si>
  <si>
    <t>Hydro, Battery, …</t>
  </si>
  <si>
    <t>Max electrical production</t>
  </si>
  <si>
    <t>Max electrical consumption</t>
  </si>
  <si>
    <t>Maximum stored energy (different from the electrical energy consumed to have it, and from the electrical energy which can be produced with it, due to consumption &amp; production efficiencies.</t>
  </si>
  <si>
    <t>Efficiency of the storage charging (0.5 means 50%).</t>
  </si>
  <si>
    <t>Efficiency of the storage discharging (0.5 means 50%).</t>
  </si>
  <si>
    <t>Discharge of the storage which is independent from its use. 0.01 means 1% of the current stored energy.</t>
  </si>
  <si>
    <t>branch id</t>
  </si>
  <si>
    <t>from bus id</t>
  </si>
  <si>
    <t>to bus id</t>
  </si>
  <si>
    <t>resistance</t>
  </si>
  <si>
    <t>reactance</t>
  </si>
  <si>
    <t>Ohm</t>
  </si>
  <si>
    <t>Must be an AC bus defined in the bus tab.</t>
  </si>
  <si>
    <t>Must be an AC bus defined in the bus tab and different from the from bus. If from and to base voltages are different the branch type must be a transformer.</t>
  </si>
  <si>
    <t>Transformer reference or AC cable reference</t>
  </si>
  <si>
    <t>If MW: maximum power allowed in the branch. If kA &amp; cable: cable ampacity. If kA &amp; transformer: maximum current allowed at the low voltage side of the transformer.</t>
  </si>
  <si>
    <t>If pu: r_base=V²/power_rating, with power_rating=sqrt(3)*V*ampacity. If Ohm &amp; transformer: the provided resistance is the one at the high voltage side.</t>
  </si>
  <si>
    <t>If pu: r_base=V²/power_rating, with power_rating=sqrt(3)*V*ampacity. If Ohm &amp; transformer: the provided reactance is the one at the high voltage side.</t>
  </si>
  <si>
    <t>branchdc id</t>
  </si>
  <si>
    <t>Must be a DC bus defined in the bus tab.</t>
  </si>
  <si>
    <t>Must be a DC bus defined in the bus tab and different from the from bus. From and to bs voltages must be the same.</t>
  </si>
  <si>
    <t>If MW: maximum power allowed in the DC link. If kA: ampacity (per pole).</t>
  </si>
  <si>
    <t>If pu: r_base=V²/power_rating, with power_rating=2*V*ampacity.</t>
  </si>
  <si>
    <t>convdc id</t>
  </si>
  <si>
    <t>AC bus id</t>
  </si>
  <si>
    <t>DC bus id</t>
  </si>
  <si>
    <t>Maximum power allowed in the converter</t>
  </si>
  <si>
    <t>Gen + Load + Conv 1 + AC line</t>
  </si>
  <si>
    <t>Storage + Conv 2 + AC line</t>
  </si>
  <si>
    <t>Conv1 + DC line</t>
  </si>
  <si>
    <t>Conv2 + DC line</t>
  </si>
  <si>
    <t>Industry</t>
  </si>
  <si>
    <t>Fixed load between 9 &amp; 13 MW</t>
  </si>
  <si>
    <t>Gas</t>
  </si>
  <si>
    <t>Gas1</t>
  </si>
  <si>
    <t>Storage1</t>
  </si>
  <si>
    <t>Battery</t>
  </si>
  <si>
    <t>AC line 20 km</t>
  </si>
  <si>
    <t>Conv1</t>
  </si>
  <si>
    <t>Conv2</t>
  </si>
  <si>
    <t>AC buses</t>
  </si>
  <si>
    <t>DC buses</t>
  </si>
  <si>
    <t>busdc</t>
  </si>
  <si>
    <t>busdc id</t>
  </si>
  <si>
    <t>If flexible. 0.2 means 20% of the power demand (which varies along the year)</t>
  </si>
  <si>
    <t>max voluntary reduced power</t>
  </si>
  <si>
    <t>initial energy</t>
  </si>
  <si>
    <t>Stored energy when the simulation begins</t>
  </si>
  <si>
    <t>configuration</t>
  </si>
  <si>
    <t>1=monopolar, 2=bipolar</t>
  </si>
  <si>
    <t>Wind</t>
  </si>
  <si>
    <t>Wind, PV, …</t>
  </si>
  <si>
    <t>Wind1</t>
  </si>
  <si>
    <t>Nuclear, Gas, …</t>
  </si>
  <si>
    <t>Generators RES</t>
  </si>
  <si>
    <t>Generators non-RES</t>
  </si>
  <si>
    <t>gen_res</t>
  </si>
  <si>
    <t>gen_res id</t>
  </si>
  <si>
    <t>Nominal voltage (phas-to-phase) expected at this bus.</t>
  </si>
  <si>
    <t>Nominal voltage (pole-to-ground) expected at this bus.</t>
  </si>
  <si>
    <t>length</t>
  </si>
  <si>
    <t>km</t>
  </si>
  <si>
    <t>DC cable or DC OHL</t>
  </si>
  <si>
    <t>DC cable</t>
  </si>
  <si>
    <t>Length of th DC branch</t>
  </si>
  <si>
    <t>DC cable 20 km</t>
  </si>
  <si>
    <t>Length of th AC branch (0 if transformer)</t>
  </si>
  <si>
    <t>AC OHL</t>
  </si>
  <si>
    <t>MMC</t>
  </si>
  <si>
    <t>Converter type (not used)</t>
  </si>
  <si>
    <t>number of lines</t>
  </si>
  <si>
    <t>Number of real lines in parallel. 1 if not a reduced edge</t>
  </si>
  <si>
    <t>latitude</t>
  </si>
  <si>
    <t>°</t>
  </si>
  <si>
    <t>longitude</t>
  </si>
  <si>
    <t>North coordinate</t>
  </si>
  <si>
    <t>East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</si>
</sst>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7698-9DB1-4E7F-9DC7-F345400F49DD}">
  <dimension ref="A1:L16"/>
  <sheetViews>
    <sheetView topLeftCell="A7" workbookViewId="0">
      <selection activeCell="A13" sqref="A13"/>
    </sheetView>
  </sheetViews>
  <sheetFormatPr baseColWidth="10" defaultColWidth="11.42578125" defaultRowHeight="15" x14ac:dyDescent="0.25"/>
  <cols>
    <col min="2" max="2" width="17.7109375" bestFit="1" customWidth="1"/>
    <col min="3" max="3" width="21.85546875" bestFit="1" customWidth="1"/>
    <col min="4" max="4" width="11.5703125" bestFit="1" customWidth="1"/>
    <col min="5" max="5" width="11" bestFit="1" customWidth="1"/>
    <col min="6" max="6" width="12" bestFit="1" customWidth="1"/>
    <col min="7" max="7" width="16.42578125" bestFit="1" customWidth="1"/>
    <col min="8" max="8" width="18.42578125" bestFit="1" customWidth="1"/>
    <col min="9" max="9" width="12.28515625" bestFit="1" customWidth="1"/>
    <col min="10" max="10" width="19.5703125" bestFit="1" customWidth="1"/>
    <col min="11" max="11" width="21.7109375" bestFit="1" customWidth="1"/>
    <col min="12" max="12" width="17.28515625" bestFit="1" customWidth="1"/>
  </cols>
  <sheetData>
    <row r="1" spans="1:12" x14ac:dyDescent="0.25">
      <c r="A1" s="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</row>
    <row r="6" spans="1:12" x14ac:dyDescent="0.25">
      <c r="A6" s="1" t="s">
        <v>4</v>
      </c>
    </row>
    <row r="7" spans="1:12" x14ac:dyDescent="0.25">
      <c r="A7" s="2" t="s">
        <v>5</v>
      </c>
      <c r="B7" s="2" t="s">
        <v>6</v>
      </c>
      <c r="C7" s="3" t="s">
        <v>7</v>
      </c>
      <c r="D7" s="4" t="s">
        <v>8</v>
      </c>
      <c r="E7" s="4"/>
      <c r="F7" s="4"/>
      <c r="G7" s="4"/>
      <c r="H7" s="4"/>
      <c r="I7" s="4"/>
      <c r="J7" s="4"/>
      <c r="K7" s="4"/>
      <c r="L7" s="4"/>
    </row>
    <row r="8" spans="1:12" x14ac:dyDescent="0.25">
      <c r="A8" t="s">
        <v>9</v>
      </c>
      <c r="B8">
        <f ca="1">COUNT(INDIRECT(A8&amp;"!B:B"))</f>
        <v>2</v>
      </c>
      <c r="C8" t="s">
        <v>91</v>
      </c>
      <c r="D8" t="str" cm="1">
        <f t="array" aca="1" ref="D8" ca="1">INDIRECT(A8&amp;"!B1")</f>
        <v>bus id</v>
      </c>
      <c r="E8" t="str" cm="1">
        <f t="array" aca="1" ref="E8" ca="1">INDIRECT(A8&amp;"!C1")</f>
        <v>base voltage</v>
      </c>
    </row>
    <row r="9" spans="1:12" x14ac:dyDescent="0.25">
      <c r="A9" t="s">
        <v>93</v>
      </c>
      <c r="B9">
        <f t="shared" ref="B9:B16" ca="1" si="0">COUNT(INDIRECT(A9&amp;"!B:B"))</f>
        <v>2</v>
      </c>
      <c r="C9" t="s">
        <v>92</v>
      </c>
      <c r="D9" t="str" cm="1">
        <f t="array" aca="1" ref="D9" ca="1">INDIRECT(A9&amp;"!B1")</f>
        <v>busdc id</v>
      </c>
      <c r="E9" t="str" cm="1">
        <f t="array" aca="1" ref="E9" ca="1">INDIRECT(A9&amp;"!C1")</f>
        <v>base voltage</v>
      </c>
    </row>
    <row r="10" spans="1:12" x14ac:dyDescent="0.25">
      <c r="A10" t="s">
        <v>10</v>
      </c>
      <c r="B10">
        <f t="shared" ca="1" si="0"/>
        <v>1</v>
      </c>
      <c r="C10" t="s">
        <v>11</v>
      </c>
      <c r="D10" t="str" cm="1">
        <f t="array" aca="1" ref="D10" ca="1">INDIRECT(A10&amp;"!B1")</f>
        <v>load id</v>
      </c>
      <c r="E10" t="str" cm="1">
        <f t="array" aca="1" ref="E10" ca="1">INDIRECT(A10&amp;"!C1")</f>
        <v>bus id</v>
      </c>
      <c r="F10" t="str" cm="1">
        <f t="array" aca="1" ref="F10" ca="1">INDIRECT(A10&amp;"!D1")</f>
        <v>type</v>
      </c>
      <c r="G10" t="str" cm="1">
        <f t="array" aca="1" ref="G10" ca="1">INDIRECT(A10&amp;"!E1")</f>
        <v>power rating</v>
      </c>
    </row>
    <row r="11" spans="1:12" x14ac:dyDescent="0.25">
      <c r="A11" t="s">
        <v>12</v>
      </c>
      <c r="B11">
        <f t="shared" ca="1" si="0"/>
        <v>1</v>
      </c>
      <c r="C11" t="s">
        <v>106</v>
      </c>
      <c r="D11" t="str" cm="1">
        <f t="array" aca="1" ref="D11" ca="1">INDIRECT(A11&amp;"!B1")</f>
        <v>gen id</v>
      </c>
      <c r="E11" t="str" cm="1">
        <f t="array" aca="1" ref="E11" ca="1">INDIRECT(A11&amp;"!C1")</f>
        <v>bus id</v>
      </c>
      <c r="F11" t="str" cm="1">
        <f t="array" aca="1" ref="F11" ca="1">INDIRECT(A11&amp;"!D1")</f>
        <v>type</v>
      </c>
      <c r="G11" t="str" cm="1">
        <f t="array" aca="1" ref="G11" ca="1">INDIRECT(A11&amp;"!E1")</f>
        <v>power rating</v>
      </c>
    </row>
    <row r="12" spans="1:12" x14ac:dyDescent="0.25">
      <c r="A12" t="s">
        <v>107</v>
      </c>
      <c r="B12">
        <f t="shared" ca="1" si="0"/>
        <v>1</v>
      </c>
      <c r="C12" t="s">
        <v>105</v>
      </c>
      <c r="D12" t="str" cm="1">
        <f t="array" aca="1" ref="D12" ca="1">INDIRECT(A12&amp;"!B1")</f>
        <v>gen_res id</v>
      </c>
      <c r="E12" t="str" cm="1">
        <f t="array" aca="1" ref="E12" ca="1">INDIRECT(A12&amp;"!C1")</f>
        <v>bus id</v>
      </c>
      <c r="F12" t="str" cm="1">
        <f t="array" aca="1" ref="F12" ca="1">INDIRECT(A12&amp;"!D1")</f>
        <v>type</v>
      </c>
      <c r="G12" t="str" cm="1">
        <f t="array" aca="1" ref="G12" ca="1">INDIRECT(A12&amp;"!E1")</f>
        <v>power rating</v>
      </c>
    </row>
    <row r="13" spans="1:12" x14ac:dyDescent="0.25">
      <c r="A13" t="s">
        <v>13</v>
      </c>
      <c r="B13">
        <f t="shared" ca="1" si="0"/>
        <v>1</v>
      </c>
      <c r="C13" t="s">
        <v>14</v>
      </c>
      <c r="D13" t="str" cm="1">
        <f t="array" aca="1" ref="D13" ca="1">INDIRECT(A13&amp;"!B1")</f>
        <v>storage id</v>
      </c>
      <c r="E13" t="str" cm="1">
        <f t="array" aca="1" ref="E13" ca="1">INDIRECT(A13&amp;"!C1")</f>
        <v>bus id</v>
      </c>
      <c r="F13" t="str" cm="1">
        <f t="array" aca="1" ref="F13" ca="1">INDIRECT(A13&amp;"!D1")</f>
        <v>type</v>
      </c>
      <c r="G13" t="str" cm="1">
        <f t="array" aca="1" ref="G13" ca="1">INDIRECT(A13&amp;"!E1")</f>
        <v>production rating</v>
      </c>
      <c r="H13" t="str" cm="1">
        <f t="array" aca="1" ref="H13" ca="1">INDIRECT(A13&amp;"!F1")</f>
        <v>consumption rating</v>
      </c>
      <c r="I13" t="str" cm="1">
        <f t="array" aca="1" ref="I13" ca="1">INDIRECT(A13&amp;"!G1")</f>
        <v>initial energy</v>
      </c>
      <c r="J13" t="str" cm="1">
        <f t="array" aca="1" ref="J13" ca="1">INDIRECT(A13&amp;"!H1")</f>
        <v>energy rating</v>
      </c>
      <c r="K13" t="str" cm="1">
        <f t="array" aca="1" ref="K13" ca="1">INDIRECT(A13&amp;"!I1")</f>
        <v>production efficiency</v>
      </c>
      <c r="L13" t="str" cm="1">
        <f t="array" aca="1" ref="L13" ca="1">INDIRECT(A13&amp;"!J1")</f>
        <v>consumption efficiency</v>
      </c>
    </row>
    <row r="14" spans="1:12" x14ac:dyDescent="0.25">
      <c r="A14" t="s">
        <v>15</v>
      </c>
      <c r="B14">
        <f t="shared" ca="1" si="0"/>
        <v>1</v>
      </c>
      <c r="C14" t="s">
        <v>16</v>
      </c>
      <c r="D14" t="str" cm="1">
        <f t="array" aca="1" ref="D14" ca="1">INDIRECT(A14&amp;"!B1")</f>
        <v>branch id</v>
      </c>
      <c r="E14" t="str" cm="1">
        <f t="array" aca="1" ref="E14" ca="1">INDIRECT(A14&amp;"!C1")</f>
        <v>from bus id</v>
      </c>
      <c r="F14" t="str" cm="1">
        <f t="array" aca="1" ref="F14" ca="1">INDIRECT(A14&amp;"!D1")</f>
        <v>to bus id</v>
      </c>
      <c r="G14" t="str" cm="1">
        <f t="array" aca="1" ref="G14" ca="1">INDIRECT(A14&amp;"!E1")</f>
        <v>type</v>
      </c>
      <c r="H14" t="str" cm="1">
        <f t="array" aca="1" ref="H14" ca="1">INDIRECT(A14&amp;"!F1")</f>
        <v>length</v>
      </c>
      <c r="I14" t="str" cm="1">
        <f t="array" aca="1" ref="I14" ca="1">INDIRECT(A14&amp;"!G1")</f>
        <v>power rating</v>
      </c>
      <c r="J14" t="str" cm="1">
        <f t="array" aca="1" ref="J14" ca="1">INDIRECT(A14&amp;"!H1")</f>
        <v>resistance</v>
      </c>
    </row>
    <row r="15" spans="1:12" x14ac:dyDescent="0.25">
      <c r="A15" t="s">
        <v>17</v>
      </c>
      <c r="B15">
        <f t="shared" ca="1" si="0"/>
        <v>1</v>
      </c>
      <c r="C15" t="s">
        <v>18</v>
      </c>
      <c r="D15" t="str" cm="1">
        <f t="array" aca="1" ref="D15" ca="1">INDIRECT(A15&amp;"!B1")</f>
        <v>branchdc id</v>
      </c>
      <c r="E15" t="str" cm="1">
        <f t="array" aca="1" ref="E15" ca="1">INDIRECT(A15&amp;"!C1")</f>
        <v>from bus id</v>
      </c>
      <c r="F15" t="str" cm="1">
        <f t="array" aca="1" ref="F15" ca="1">INDIRECT(A15&amp;"!D1")</f>
        <v>to bus id</v>
      </c>
      <c r="G15" t="str" cm="1">
        <f t="array" aca="1" ref="G15" ca="1">INDIRECT(A15&amp;"!E1")</f>
        <v>type</v>
      </c>
      <c r="H15" t="str" cm="1">
        <f t="array" aca="1" ref="H15" ca="1">INDIRECT(A15&amp;"!F1")</f>
        <v>length</v>
      </c>
      <c r="I15" t="str" cm="1">
        <f t="array" aca="1" ref="I15" ca="1">INDIRECT(A15&amp;"!G1")</f>
        <v>configuration</v>
      </c>
    </row>
    <row r="16" spans="1:12" x14ac:dyDescent="0.25">
      <c r="A16" t="s">
        <v>19</v>
      </c>
      <c r="B16">
        <f t="shared" ca="1" si="0"/>
        <v>2</v>
      </c>
      <c r="C16" t="s">
        <v>20</v>
      </c>
      <c r="D16" t="str" cm="1">
        <f t="array" aca="1" ref="D16" ca="1">INDIRECT(A16&amp;"!B1")</f>
        <v>convdc id</v>
      </c>
      <c r="E16" t="str" cm="1">
        <f t="array" aca="1" ref="E16" ca="1">INDIRECT(A16&amp;"!C1")</f>
        <v>AC bus id</v>
      </c>
      <c r="F16" t="str" cm="1">
        <f t="array" aca="1" ref="F16" ca="1">INDIRECT(A16&amp;"!D1")</f>
        <v>DC bus id</v>
      </c>
      <c r="G16" t="str" cm="1">
        <f t="array" aca="1" ref="G16" ca="1">INDIRECT(A16&amp;"!E1")</f>
        <v>type</v>
      </c>
      <c r="H16" t="str" cm="1">
        <f t="array" aca="1" ref="H16" ca="1">INDIRECT(A16&amp;"!F1")</f>
        <v>configuration</v>
      </c>
    </row>
  </sheetData>
  <mergeCells count="1">
    <mergeCell ref="D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B911-CA77-4F8E-9EB2-20225661F621}">
  <dimension ref="A1:E5"/>
  <sheetViews>
    <sheetView tabSelected="1" workbookViewId="0">
      <selection activeCell="D5" sqref="D5:E5"/>
    </sheetView>
  </sheetViews>
  <sheetFormatPr baseColWidth="10" defaultColWidth="11.42578125" defaultRowHeight="15" x14ac:dyDescent="0.25"/>
  <cols>
    <col min="1" max="1" width="26.42578125" bestFit="1" customWidth="1"/>
  </cols>
  <sheetData>
    <row r="1" spans="1:5" x14ac:dyDescent="0.25">
      <c r="A1" t="s">
        <v>21</v>
      </c>
      <c r="B1" t="s">
        <v>22</v>
      </c>
      <c r="C1" t="s">
        <v>24</v>
      </c>
      <c r="D1" t="s">
        <v>123</v>
      </c>
      <c r="E1" t="s">
        <v>125</v>
      </c>
    </row>
    <row r="2" spans="1:5" x14ac:dyDescent="0.25">
      <c r="A2" t="s">
        <v>25</v>
      </c>
      <c r="B2" t="s">
        <v>26</v>
      </c>
      <c r="C2" t="s">
        <v>28</v>
      </c>
      <c r="D2" t="s">
        <v>124</v>
      </c>
      <c r="E2" t="s">
        <v>124</v>
      </c>
    </row>
    <row r="3" spans="1:5" x14ac:dyDescent="0.25">
      <c r="A3" t="s">
        <v>7</v>
      </c>
      <c r="B3" t="s">
        <v>29</v>
      </c>
      <c r="C3" t="s">
        <v>109</v>
      </c>
      <c r="D3" t="s">
        <v>126</v>
      </c>
      <c r="E3" t="s">
        <v>127</v>
      </c>
    </row>
    <row r="4" spans="1:5" x14ac:dyDescent="0.25">
      <c r="A4" t="s">
        <v>78</v>
      </c>
      <c r="B4">
        <v>1</v>
      </c>
      <c r="C4">
        <v>400</v>
      </c>
      <c r="D4">
        <v>45</v>
      </c>
      <c r="E4">
        <v>5</v>
      </c>
    </row>
    <row r="5" spans="1:5" x14ac:dyDescent="0.25">
      <c r="A5" t="s">
        <v>79</v>
      </c>
      <c r="B5">
        <v>2</v>
      </c>
      <c r="C5">
        <v>400</v>
      </c>
      <c r="D5">
        <v>46</v>
      </c>
      <c r="E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6320-1014-411C-AA19-D0D57F06F18F}">
  <dimension ref="A1:E5"/>
  <sheetViews>
    <sheetView workbookViewId="0">
      <selection activeCell="D5" sqref="D5:E5"/>
    </sheetView>
  </sheetViews>
  <sheetFormatPr baseColWidth="10" defaultColWidth="11.42578125" defaultRowHeight="15" x14ac:dyDescent="0.25"/>
  <cols>
    <col min="1" max="1" width="26.42578125" bestFit="1" customWidth="1"/>
  </cols>
  <sheetData>
    <row r="1" spans="1:5" x14ac:dyDescent="0.25">
      <c r="A1" t="s">
        <v>21</v>
      </c>
      <c r="B1" t="s">
        <v>94</v>
      </c>
      <c r="C1" t="s">
        <v>24</v>
      </c>
      <c r="D1" t="s">
        <v>123</v>
      </c>
      <c r="E1" t="s">
        <v>125</v>
      </c>
    </row>
    <row r="2" spans="1:5" x14ac:dyDescent="0.25">
      <c r="A2" t="s">
        <v>25</v>
      </c>
      <c r="B2" t="s">
        <v>26</v>
      </c>
      <c r="C2" t="s">
        <v>28</v>
      </c>
      <c r="D2" t="s">
        <v>124</v>
      </c>
      <c r="E2" t="s">
        <v>124</v>
      </c>
    </row>
    <row r="3" spans="1:5" x14ac:dyDescent="0.25">
      <c r="A3" t="s">
        <v>7</v>
      </c>
      <c r="B3" t="s">
        <v>29</v>
      </c>
      <c r="C3" t="s">
        <v>110</v>
      </c>
      <c r="D3" t="s">
        <v>126</v>
      </c>
      <c r="E3" t="s">
        <v>127</v>
      </c>
    </row>
    <row r="4" spans="1:5" x14ac:dyDescent="0.25">
      <c r="A4" t="s">
        <v>80</v>
      </c>
      <c r="B4">
        <v>1</v>
      </c>
      <c r="C4">
        <v>320</v>
      </c>
      <c r="D4">
        <v>45</v>
      </c>
      <c r="E4">
        <v>5</v>
      </c>
    </row>
    <row r="5" spans="1:5" x14ac:dyDescent="0.25">
      <c r="A5" t="s">
        <v>81</v>
      </c>
      <c r="B5">
        <v>2</v>
      </c>
      <c r="C5">
        <v>320</v>
      </c>
      <c r="D5">
        <v>46</v>
      </c>
      <c r="E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5637-43B7-4361-84C9-79EC5C6FF03E}">
  <dimension ref="A1:H4"/>
  <sheetViews>
    <sheetView workbookViewId="0">
      <selection activeCell="H1" sqref="H1"/>
    </sheetView>
  </sheetViews>
  <sheetFormatPr baseColWidth="10" defaultColWidth="11.5703125" defaultRowHeight="15" x14ac:dyDescent="0.25"/>
  <cols>
    <col min="1" max="1" width="27.42578125" bestFit="1" customWidth="1"/>
    <col min="5" max="5" width="11.5703125" customWidth="1"/>
  </cols>
  <sheetData>
    <row r="1" spans="1:8" x14ac:dyDescent="0.25">
      <c r="A1" t="s">
        <v>21</v>
      </c>
      <c r="B1" t="s">
        <v>30</v>
      </c>
      <c r="C1" t="s">
        <v>22</v>
      </c>
      <c r="D1" t="s">
        <v>23</v>
      </c>
      <c r="E1" t="s">
        <v>39</v>
      </c>
      <c r="F1" t="s">
        <v>31</v>
      </c>
      <c r="G1" t="s">
        <v>32</v>
      </c>
      <c r="H1" t="s">
        <v>96</v>
      </c>
    </row>
    <row r="2" spans="1:8" x14ac:dyDescent="0.25">
      <c r="A2" t="s">
        <v>25</v>
      </c>
      <c r="B2" t="s">
        <v>26</v>
      </c>
      <c r="C2" t="s">
        <v>26</v>
      </c>
      <c r="D2" t="s">
        <v>27</v>
      </c>
      <c r="E2" t="s">
        <v>33</v>
      </c>
      <c r="F2" t="s">
        <v>48</v>
      </c>
      <c r="G2" t="s">
        <v>48</v>
      </c>
      <c r="H2" t="s">
        <v>48</v>
      </c>
    </row>
    <row r="3" spans="1:8" x14ac:dyDescent="0.25">
      <c r="A3" t="s">
        <v>7</v>
      </c>
      <c r="B3" t="s">
        <v>29</v>
      </c>
      <c r="C3" t="s">
        <v>35</v>
      </c>
      <c r="D3" t="s">
        <v>36</v>
      </c>
      <c r="E3" t="s">
        <v>37</v>
      </c>
      <c r="F3" t="s">
        <v>95</v>
      </c>
      <c r="G3" t="s">
        <v>95</v>
      </c>
      <c r="H3" t="s">
        <v>95</v>
      </c>
    </row>
    <row r="4" spans="1:8" x14ac:dyDescent="0.25">
      <c r="A4" t="s">
        <v>83</v>
      </c>
      <c r="B4">
        <v>1</v>
      </c>
      <c r="C4">
        <v>1</v>
      </c>
      <c r="D4" t="s">
        <v>82</v>
      </c>
      <c r="E4">
        <v>15000</v>
      </c>
      <c r="F4">
        <v>0</v>
      </c>
      <c r="G4">
        <v>0</v>
      </c>
      <c r="H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54D6-D3D3-4F22-9429-754914DFF8CD}">
  <dimension ref="A1:E4"/>
  <sheetViews>
    <sheetView workbookViewId="0">
      <selection activeCell="D4" sqref="D4"/>
    </sheetView>
  </sheetViews>
  <sheetFormatPr baseColWidth="10" defaultColWidth="11.42578125" defaultRowHeight="15" x14ac:dyDescent="0.25"/>
  <sheetData>
    <row r="1" spans="1:5" x14ac:dyDescent="0.25">
      <c r="A1" t="s">
        <v>21</v>
      </c>
      <c r="B1" t="s">
        <v>38</v>
      </c>
      <c r="C1" t="s">
        <v>22</v>
      </c>
      <c r="D1" t="s">
        <v>23</v>
      </c>
      <c r="E1" t="s">
        <v>39</v>
      </c>
    </row>
    <row r="2" spans="1:5" x14ac:dyDescent="0.25">
      <c r="A2" t="s">
        <v>25</v>
      </c>
      <c r="B2" t="s">
        <v>26</v>
      </c>
      <c r="C2" t="s">
        <v>26</v>
      </c>
      <c r="D2" t="s">
        <v>27</v>
      </c>
      <c r="E2" t="s">
        <v>33</v>
      </c>
    </row>
    <row r="3" spans="1:5" x14ac:dyDescent="0.25">
      <c r="A3" t="s">
        <v>7</v>
      </c>
      <c r="B3" t="s">
        <v>29</v>
      </c>
      <c r="C3" t="s">
        <v>35</v>
      </c>
      <c r="D3" t="s">
        <v>104</v>
      </c>
      <c r="E3" t="s">
        <v>40</v>
      </c>
    </row>
    <row r="4" spans="1:5" x14ac:dyDescent="0.25">
      <c r="A4" t="s">
        <v>85</v>
      </c>
      <c r="B4">
        <v>1</v>
      </c>
      <c r="C4">
        <v>1</v>
      </c>
      <c r="D4" t="s">
        <v>84</v>
      </c>
      <c r="E4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6FD1-71FC-46C3-A3CF-85733EF09421}">
  <dimension ref="A1:E4"/>
  <sheetViews>
    <sheetView workbookViewId="0">
      <selection activeCell="B2" sqref="B2"/>
    </sheetView>
  </sheetViews>
  <sheetFormatPr baseColWidth="10" defaultColWidth="11.42578125" defaultRowHeight="15" x14ac:dyDescent="0.25"/>
  <sheetData>
    <row r="1" spans="1:5" x14ac:dyDescent="0.25">
      <c r="A1" t="s">
        <v>21</v>
      </c>
      <c r="B1" t="s">
        <v>108</v>
      </c>
      <c r="C1" t="s">
        <v>22</v>
      </c>
      <c r="D1" t="s">
        <v>23</v>
      </c>
      <c r="E1" t="s">
        <v>39</v>
      </c>
    </row>
    <row r="2" spans="1:5" x14ac:dyDescent="0.25">
      <c r="A2" t="s">
        <v>25</v>
      </c>
      <c r="B2" t="s">
        <v>26</v>
      </c>
      <c r="C2" t="s">
        <v>26</v>
      </c>
      <c r="D2" t="s">
        <v>27</v>
      </c>
      <c r="E2" t="s">
        <v>33</v>
      </c>
    </row>
    <row r="3" spans="1:5" x14ac:dyDescent="0.25">
      <c r="A3" t="s">
        <v>7</v>
      </c>
      <c r="B3" t="s">
        <v>29</v>
      </c>
      <c r="C3" t="s">
        <v>35</v>
      </c>
      <c r="D3" t="s">
        <v>102</v>
      </c>
      <c r="E3" t="s">
        <v>40</v>
      </c>
    </row>
    <row r="4" spans="1:5" x14ac:dyDescent="0.25">
      <c r="A4" t="s">
        <v>103</v>
      </c>
      <c r="B4">
        <v>1</v>
      </c>
      <c r="C4">
        <v>1</v>
      </c>
      <c r="D4" t="s">
        <v>101</v>
      </c>
      <c r="E4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26B5-A4C1-4414-BF01-B67D804BCB2D}">
  <dimension ref="A1:K4"/>
  <sheetViews>
    <sheetView topLeftCell="B1" workbookViewId="0">
      <selection activeCell="E1" sqref="E1"/>
    </sheetView>
  </sheetViews>
  <sheetFormatPr baseColWidth="10" defaultColWidth="11.42578125" defaultRowHeight="15" x14ac:dyDescent="0.25"/>
  <sheetData>
    <row r="1" spans="1:11" x14ac:dyDescent="0.25">
      <c r="A1" t="s">
        <v>21</v>
      </c>
      <c r="B1" t="s">
        <v>41</v>
      </c>
      <c r="C1" t="s">
        <v>22</v>
      </c>
      <c r="D1" t="s">
        <v>23</v>
      </c>
      <c r="E1" t="s">
        <v>42</v>
      </c>
      <c r="F1" t="s">
        <v>43</v>
      </c>
      <c r="G1" t="s">
        <v>97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25">
      <c r="A2" t="s">
        <v>25</v>
      </c>
      <c r="B2" t="s">
        <v>26</v>
      </c>
      <c r="C2" t="s">
        <v>26</v>
      </c>
      <c r="D2" t="s">
        <v>27</v>
      </c>
      <c r="E2" t="s">
        <v>33</v>
      </c>
      <c r="F2" t="s">
        <v>33</v>
      </c>
      <c r="G2" t="s">
        <v>34</v>
      </c>
      <c r="H2" t="s">
        <v>34</v>
      </c>
      <c r="I2" t="s">
        <v>48</v>
      </c>
      <c r="J2" t="s">
        <v>48</v>
      </c>
      <c r="K2" t="s">
        <v>49</v>
      </c>
    </row>
    <row r="3" spans="1:11" x14ac:dyDescent="0.25">
      <c r="A3" t="s">
        <v>7</v>
      </c>
      <c r="B3" t="s">
        <v>29</v>
      </c>
      <c r="C3" t="s">
        <v>35</v>
      </c>
      <c r="D3" t="s">
        <v>50</v>
      </c>
      <c r="E3" t="s">
        <v>51</v>
      </c>
      <c r="F3" t="s">
        <v>52</v>
      </c>
      <c r="G3" t="s">
        <v>98</v>
      </c>
      <c r="H3" t="s">
        <v>53</v>
      </c>
      <c r="I3" t="s">
        <v>54</v>
      </c>
      <c r="J3" t="s">
        <v>55</v>
      </c>
      <c r="K3" t="s">
        <v>56</v>
      </c>
    </row>
    <row r="4" spans="1:11" x14ac:dyDescent="0.25">
      <c r="A4" t="s">
        <v>86</v>
      </c>
      <c r="B4">
        <v>1</v>
      </c>
      <c r="C4">
        <v>2</v>
      </c>
      <c r="D4" t="s">
        <v>87</v>
      </c>
      <c r="E4">
        <v>2000</v>
      </c>
      <c r="F4">
        <v>2000</v>
      </c>
      <c r="G4">
        <v>0</v>
      </c>
      <c r="H4">
        <v>3000</v>
      </c>
      <c r="I4">
        <v>1</v>
      </c>
      <c r="J4">
        <v>1</v>
      </c>
      <c r="K4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F783-0E85-4D87-B4F5-59C485B9EADC}">
  <dimension ref="A1:J4"/>
  <sheetViews>
    <sheetView workbookViewId="0">
      <selection activeCell="K11" sqref="K11"/>
    </sheetView>
  </sheetViews>
  <sheetFormatPr baseColWidth="10" defaultColWidth="11.42578125" defaultRowHeight="15" x14ac:dyDescent="0.25"/>
  <sheetData>
    <row r="1" spans="1:10" x14ac:dyDescent="0.25">
      <c r="A1" t="s">
        <v>21</v>
      </c>
      <c r="B1" t="s">
        <v>57</v>
      </c>
      <c r="C1" t="s">
        <v>58</v>
      </c>
      <c r="D1" t="s">
        <v>59</v>
      </c>
      <c r="E1" t="s">
        <v>23</v>
      </c>
      <c r="F1" t="s">
        <v>111</v>
      </c>
      <c r="G1" t="s">
        <v>39</v>
      </c>
      <c r="H1" t="s">
        <v>60</v>
      </c>
      <c r="I1" t="s">
        <v>61</v>
      </c>
      <c r="J1" t="s">
        <v>121</v>
      </c>
    </row>
    <row r="2" spans="1:10" x14ac:dyDescent="0.25">
      <c r="A2" t="s">
        <v>25</v>
      </c>
      <c r="B2" t="s">
        <v>26</v>
      </c>
      <c r="C2" t="s">
        <v>26</v>
      </c>
      <c r="D2" t="s">
        <v>26</v>
      </c>
      <c r="E2" t="s">
        <v>27</v>
      </c>
      <c r="F2" t="s">
        <v>112</v>
      </c>
      <c r="G2" t="s">
        <v>33</v>
      </c>
      <c r="H2" t="s">
        <v>62</v>
      </c>
      <c r="I2" t="s">
        <v>62</v>
      </c>
      <c r="J2" t="s">
        <v>26</v>
      </c>
    </row>
    <row r="3" spans="1:10" x14ac:dyDescent="0.25">
      <c r="A3" t="s">
        <v>7</v>
      </c>
      <c r="B3" t="s">
        <v>29</v>
      </c>
      <c r="C3" t="s">
        <v>63</v>
      </c>
      <c r="D3" t="s">
        <v>64</v>
      </c>
      <c r="E3" t="s">
        <v>65</v>
      </c>
      <c r="F3" t="s">
        <v>117</v>
      </c>
      <c r="G3" t="s">
        <v>66</v>
      </c>
      <c r="H3" t="s">
        <v>67</v>
      </c>
      <c r="I3" t="s">
        <v>68</v>
      </c>
      <c r="J3" t="s">
        <v>122</v>
      </c>
    </row>
    <row r="4" spans="1:10" x14ac:dyDescent="0.25">
      <c r="A4" t="s">
        <v>88</v>
      </c>
      <c r="B4">
        <v>1</v>
      </c>
      <c r="C4">
        <v>1</v>
      </c>
      <c r="D4">
        <v>2</v>
      </c>
      <c r="E4" t="s">
        <v>118</v>
      </c>
      <c r="F4">
        <v>20</v>
      </c>
      <c r="G4">
        <v>1000</v>
      </c>
      <c r="H4">
        <v>0.03</v>
      </c>
      <c r="I4">
        <v>0.3</v>
      </c>
      <c r="J4">
        <v>1</v>
      </c>
    </row>
  </sheetData>
  <dataValidations count="3">
    <dataValidation type="list" allowBlank="1" showInputMessage="1" showErrorMessage="1" sqref="G2" xr:uid="{7570D59E-4D6E-4042-B9C5-F369EB8B7077}">
      <formula1>"MW,kA"</formula1>
    </dataValidation>
    <dataValidation type="list" allowBlank="1" showInputMessage="1" showErrorMessage="1" sqref="H2:I2" xr:uid="{6CCDCAFB-D193-4BB4-944B-B96DD26BB55D}">
      <formula1>"Ohm,pu"</formula1>
    </dataValidation>
    <dataValidation type="list" allowBlank="1" showInputMessage="1" showErrorMessage="1" sqref="E4" xr:uid="{F1C5D8A5-C885-4ABA-8254-913047A7D20C}">
      <formula1>"AC OHL,Transformer"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1CEF-3F39-44ED-97E0-2E32E766EF7A}">
  <dimension ref="A1:I4"/>
  <sheetViews>
    <sheetView workbookViewId="0">
      <selection activeCell="J1" sqref="J1:J1048576"/>
    </sheetView>
  </sheetViews>
  <sheetFormatPr baseColWidth="10" defaultColWidth="11.42578125" defaultRowHeight="15" x14ac:dyDescent="0.25"/>
  <sheetData>
    <row r="1" spans="1:9" x14ac:dyDescent="0.25">
      <c r="A1" t="s">
        <v>21</v>
      </c>
      <c r="B1" t="s">
        <v>69</v>
      </c>
      <c r="C1" t="s">
        <v>58</v>
      </c>
      <c r="D1" t="s">
        <v>59</v>
      </c>
      <c r="E1" t="s">
        <v>23</v>
      </c>
      <c r="F1" t="s">
        <v>111</v>
      </c>
      <c r="G1" t="s">
        <v>99</v>
      </c>
      <c r="H1" t="s">
        <v>39</v>
      </c>
      <c r="I1" t="s">
        <v>60</v>
      </c>
    </row>
    <row r="2" spans="1:9" x14ac:dyDescent="0.25">
      <c r="A2" t="s">
        <v>25</v>
      </c>
      <c r="B2" t="s">
        <v>26</v>
      </c>
      <c r="C2" t="s">
        <v>26</v>
      </c>
      <c r="D2" t="s">
        <v>26</v>
      </c>
      <c r="E2" t="s">
        <v>27</v>
      </c>
      <c r="F2" t="s">
        <v>112</v>
      </c>
      <c r="G2" t="s">
        <v>26</v>
      </c>
      <c r="H2" t="s">
        <v>33</v>
      </c>
      <c r="I2" t="s">
        <v>62</v>
      </c>
    </row>
    <row r="3" spans="1:9" x14ac:dyDescent="0.25">
      <c r="A3" t="s">
        <v>7</v>
      </c>
      <c r="B3" t="s">
        <v>29</v>
      </c>
      <c r="C3" t="s">
        <v>70</v>
      </c>
      <c r="D3" t="s">
        <v>71</v>
      </c>
      <c r="E3" t="s">
        <v>113</v>
      </c>
      <c r="F3" t="s">
        <v>115</v>
      </c>
      <c r="G3" t="s">
        <v>100</v>
      </c>
      <c r="H3" t="s">
        <v>72</v>
      </c>
      <c r="I3" t="s">
        <v>73</v>
      </c>
    </row>
    <row r="4" spans="1:9" x14ac:dyDescent="0.25">
      <c r="A4" t="s">
        <v>116</v>
      </c>
      <c r="B4">
        <v>1</v>
      </c>
      <c r="C4">
        <v>1</v>
      </c>
      <c r="D4">
        <v>2</v>
      </c>
      <c r="E4" t="s">
        <v>114</v>
      </c>
      <c r="F4">
        <v>20</v>
      </c>
      <c r="G4">
        <v>2</v>
      </c>
      <c r="H4">
        <v>1000</v>
      </c>
      <c r="I4">
        <v>0.03</v>
      </c>
    </row>
  </sheetData>
  <dataValidations count="3">
    <dataValidation type="list" allowBlank="1" showInputMessage="1" showErrorMessage="1" sqref="H2" xr:uid="{F4C4D698-077A-4FD4-8E3B-93A2469DAA72}">
      <formula1>"MW,kA"</formula1>
    </dataValidation>
    <dataValidation type="list" allowBlank="1" showInputMessage="1" showErrorMessage="1" sqref="I2" xr:uid="{D28FA82A-5062-475B-8FE8-8D9740D8C9C0}">
      <formula1>"Ohm,pu"</formula1>
    </dataValidation>
    <dataValidation type="list" allowBlank="1" showInputMessage="1" showErrorMessage="1" sqref="E4" xr:uid="{30F54288-D634-44C3-A062-10557F0B633A}">
      <formula1>"DC cable,DC OHL"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61C9-BE98-4308-A22E-A5F77C928B7D}">
  <dimension ref="A1:G5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7" x14ac:dyDescent="0.25">
      <c r="A1" t="s">
        <v>21</v>
      </c>
      <c r="B1" t="s">
        <v>74</v>
      </c>
      <c r="C1" t="s">
        <v>75</v>
      </c>
      <c r="D1" t="s">
        <v>76</v>
      </c>
      <c r="E1" t="s">
        <v>23</v>
      </c>
      <c r="F1" t="s">
        <v>99</v>
      </c>
      <c r="G1" t="s">
        <v>39</v>
      </c>
    </row>
    <row r="2" spans="1:7" x14ac:dyDescent="0.25">
      <c r="A2" t="s">
        <v>25</v>
      </c>
      <c r="B2" t="s">
        <v>26</v>
      </c>
      <c r="C2" t="s">
        <v>26</v>
      </c>
      <c r="D2" t="s">
        <v>26</v>
      </c>
      <c r="E2" t="s">
        <v>27</v>
      </c>
      <c r="F2" t="s">
        <v>26</v>
      </c>
      <c r="G2" t="s">
        <v>33</v>
      </c>
    </row>
    <row r="3" spans="1:7" x14ac:dyDescent="0.25">
      <c r="A3" t="s">
        <v>7</v>
      </c>
      <c r="B3" t="s">
        <v>29</v>
      </c>
      <c r="C3" t="s">
        <v>63</v>
      </c>
      <c r="D3" t="s">
        <v>70</v>
      </c>
      <c r="E3" t="s">
        <v>120</v>
      </c>
      <c r="F3" t="s">
        <v>100</v>
      </c>
      <c r="G3" t="s">
        <v>77</v>
      </c>
    </row>
    <row r="4" spans="1:7" x14ac:dyDescent="0.25">
      <c r="A4" t="s">
        <v>89</v>
      </c>
      <c r="B4">
        <v>1</v>
      </c>
      <c r="C4">
        <v>1</v>
      </c>
      <c r="D4">
        <v>1</v>
      </c>
      <c r="E4" t="s">
        <v>119</v>
      </c>
      <c r="F4">
        <v>2</v>
      </c>
      <c r="G4">
        <v>1000</v>
      </c>
    </row>
    <row r="5" spans="1:7" x14ac:dyDescent="0.25">
      <c r="A5" t="s">
        <v>90</v>
      </c>
      <c r="B5">
        <v>2</v>
      </c>
      <c r="C5">
        <v>2</v>
      </c>
      <c r="D5">
        <v>2</v>
      </c>
      <c r="E5" t="s">
        <v>119</v>
      </c>
      <c r="F5">
        <v>2</v>
      </c>
      <c r="G5">
        <v>1000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7bcdbbe-1b84-46f8-a2e4-bedf5bd24576" xsi:nil="true"/>
    <TaxCatchAll xmlns="e2fe3da4-e7b1-4e71-a513-56b717f56f6b" xsi:nil="true"/>
    <lcf76f155ced4ddcb4097134ff3c332f xmlns="37bcdbbe-1b84-46f8-a2e4-bedf5bd245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0305CF8A5F8A4B86568FB88F41EB51" ma:contentTypeVersion="16" ma:contentTypeDescription="Crée un document." ma:contentTypeScope="" ma:versionID="7820bdd98b12bbce6701f392baa49827">
  <xsd:schema xmlns:xsd="http://www.w3.org/2001/XMLSchema" xmlns:xs="http://www.w3.org/2001/XMLSchema" xmlns:p="http://schemas.microsoft.com/office/2006/metadata/properties" xmlns:ns2="37bcdbbe-1b84-46f8-a2e4-bedf5bd24576" xmlns:ns3="e2fe3da4-e7b1-4e71-a513-56b717f56f6b" targetNamespace="http://schemas.microsoft.com/office/2006/metadata/properties" ma:root="true" ma:fieldsID="1a7208ee71179b2cd86960a83168177e" ns2:_="" ns3:_="">
    <xsd:import namespace="37bcdbbe-1b84-46f8-a2e4-bedf5bd24576"/>
    <xsd:import namespace="e2fe3da4-e7b1-4e71-a513-56b717f56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cdbbe-1b84-46f8-a2e4-bedf5bd24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b932911-d067-401a-a54e-ba3cc5b147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État de validation" ma:internalName="_x00c9_tat_x0020_de_x0020_validation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e3da4-e7b1-4e71-a513-56b717f56f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3746ed9-e789-4d97-b997-b3ac84d99509}" ma:internalName="TaxCatchAll" ma:showField="CatchAllData" ma:web="e2fe3da4-e7b1-4e71-a513-56b717f56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D9F52-07AC-4C0A-AC76-FFC7BB308E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AE2862-7911-45BF-8962-6BF015BBFC66}">
  <ds:schemaRefs>
    <ds:schemaRef ds:uri="http://schemas.microsoft.com/office/2006/metadata/properties"/>
    <ds:schemaRef ds:uri="http://schemas.microsoft.com/office/infopath/2007/PartnerControls"/>
    <ds:schemaRef ds:uri="37bcdbbe-1b84-46f8-a2e4-bedf5bd24576"/>
    <ds:schemaRef ds:uri="e2fe3da4-e7b1-4e71-a513-56b717f56f6b"/>
  </ds:schemaRefs>
</ds:datastoreItem>
</file>

<file path=customXml/itemProps3.xml><?xml version="1.0" encoding="utf-8"?>
<ds:datastoreItem xmlns:ds="http://schemas.openxmlformats.org/officeDocument/2006/customXml" ds:itemID="{51054561-08D6-4033-8FFD-879157D5F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cdbbe-1b84-46f8-a2e4-bedf5bd24576"/>
    <ds:schemaRef ds:uri="e2fe3da4-e7b1-4e71-a513-56b717f56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bus</vt:lpstr>
      <vt:lpstr>busdc</vt:lpstr>
      <vt:lpstr>load</vt:lpstr>
      <vt:lpstr>gen</vt:lpstr>
      <vt:lpstr>gen_res</vt:lpstr>
      <vt:lpstr>storage</vt:lpstr>
      <vt:lpstr>branch</vt:lpstr>
      <vt:lpstr>branchdc</vt:lpstr>
      <vt:lpstr>convdc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BARLA Nicolas</dc:creator>
  <cp:keywords/>
  <dc:description/>
  <cp:lastModifiedBy>BARLA Nicolas</cp:lastModifiedBy>
  <cp:revision/>
  <dcterms:created xsi:type="dcterms:W3CDTF">2024-05-02T11:37:09Z</dcterms:created>
  <dcterms:modified xsi:type="dcterms:W3CDTF">2025-04-23T14:47:09Z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0x010100360305CF8A5F8A4B86568FB88F41EB51</vt:lpwstr>
  </property>
  <property fmtid="{D5CDD505-2E9C-101B-9397-08002B2CF9AE}" pid="3" name="MediaServiceImageTags">
    <vt:lpwstr/>
  </property>
</Properties>
</file>